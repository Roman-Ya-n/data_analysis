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bookViews>
    <workbookView xWindow="0" yWindow="0" windowWidth="23040" windowHeight="9612" tabRatio="500"/>
  </bookViews>
  <sheets>
    <sheet name="Звіт про стійкість 1" sheetId="4" r:id="rId1"/>
    <sheet name="Модель" sheetId="1" r:id="rId2"/>
  </sheets>
  <definedNames>
    <definedName name="solver_adj" localSheetId="1" hidden="1">Модель!$B$11:$E$11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Модель!$F$5:$F$9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Модель!$B$14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Модель!$H$5:$H$9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  <c r="B14" i="1"/>
  <c r="F9" i="1"/>
  <c r="I9" i="1" s="1"/>
  <c r="J9" i="1" s="1"/>
  <c r="F8" i="1"/>
  <c r="I8" i="1" s="1"/>
  <c r="J8" i="1" s="1"/>
  <c r="F7" i="1"/>
  <c r="I7" i="1" s="1"/>
  <c r="J7" i="1" s="1"/>
  <c r="F6" i="1"/>
  <c r="I6" i="1" s="1"/>
  <c r="J6" i="1" s="1"/>
  <c r="F5" i="1"/>
  <c r="I5" i="1" s="1"/>
  <c r="J5" i="1" s="1"/>
  <c r="B17" i="1" l="1"/>
</calcChain>
</file>

<file path=xl/sharedStrings.xml><?xml version="1.0" encoding="utf-8"?>
<sst xmlns="http://schemas.openxmlformats.org/spreadsheetml/2006/main" count="73" uniqueCount="59">
  <si>
    <t>Лабораторна робота №2 · Виробнича задача · Варіант 19 · «Карпатський дуб» (меблі)</t>
  </si>
  <si>
    <t>Яцишин Роман, ШІ-32. Одиниця плану: шт./тиждень. Сині числа — вхідні дані з зошита, жовті клітинки — змінні рішення (їх змінює «Пошук рішення»), чорні — формули.</t>
  </si>
  <si>
    <t>Ресурс</t>
  </si>
  <si>
    <t>Крісло</t>
  </si>
  <si>
    <t>Стілець</t>
  </si>
  <si>
    <t>Табурет</t>
  </si>
  <si>
    <t>Лава</t>
  </si>
  <si>
    <t>Витрачено</t>
  </si>
  <si>
    <t>Запас</t>
  </si>
  <si>
    <t>Залишок</t>
  </si>
  <si>
    <t>Зв’язне?</t>
  </si>
  <si>
    <t>Дубовий брус, м</t>
  </si>
  <si>
    <t>≤</t>
  </si>
  <si>
    <t>Фанера, м²</t>
  </si>
  <si>
    <t>Фурнітура, компл.</t>
  </si>
  <si>
    <t>Верстат, год</t>
  </si>
  <si>
    <t>Лакування, год</t>
  </si>
  <si>
    <t>Випуск (змінні рішення)</t>
  </si>
  <si>
    <t>Прибуток з одиниці</t>
  </si>
  <si>
    <t>Прибуток (цільова функція)</t>
  </si>
  <si>
    <t>Ненульових змінних</t>
  </si>
  <si>
    <t>Зв’язних обмежень</t>
  </si>
  <si>
    <t>Обмеження</t>
  </si>
  <si>
    <t>Microsoft Excel 16.0 Звіт про стійкість</t>
  </si>
  <si>
    <t>Аркуш: [LR2_model.xlsx]Модель</t>
  </si>
  <si>
    <t>Звіт створено: 13.10.2026 23:51:52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</si>
  <si>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</si>
  <si>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</si>
  <si>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</si>
  <si>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</si>
  <si>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</si>
  <si>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</si>
  <si>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</si>
  <si>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</si>
  <si>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</si>
  <si>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</si>
  <si>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</si>
  <si>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</si>
  <si>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Тінь</t>
  </si>
  <si>
    <t>Ціна</t>
  </si>
  <si>
    <t>Права сторона</t>
  </si>
  <si>
    <t>$B$11</t>
  </si>
  <si>
    <t>Випуск (змінні рішення) Крісло</t>
  </si>
  <si>
    <t>$C$11</t>
  </si>
  <si>
    <t>Випуск (змінні рішення) Стілець</t>
  </si>
  <si>
    <t>$D$11</t>
  </si>
  <si>
    <t>Випуск (змінні рішення) Табурет</t>
  </si>
  <si>
    <t>$E$11</t>
  </si>
  <si>
    <t>Випуск (змінні рішення) Лава</t>
  </si>
  <si>
    <t>$F$5</t>
  </si>
  <si>
    <t>Дубовий брус, м Витрачено</t>
  </si>
  <si>
    <t>$F$6</t>
  </si>
  <si>
    <t>Фанера, м² Витрачено</t>
  </si>
  <si>
    <t>$F$7</t>
  </si>
  <si>
    <t>Фурнітура, компл. Витрачено</t>
  </si>
  <si>
    <t>$F$8</t>
  </si>
  <si>
    <t>Верстат, год Витрачено</t>
  </si>
  <si>
    <t>$F$9</t>
  </si>
  <si>
    <t>Лакування, год Витрачено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</si>
</sst>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0" borderId="1" xfId="0" applyFont="1" applyBorder="1"/>
    <xf numFmtId="1" fontId="4" fillId="0" borderId="1" xfId="0" applyNumberFormat="1" applyFont="1" applyBorder="1"/>
    <xf numFmtId="2" fontId="5" fillId="0" borderId="1" xfId="0" applyNumberFormat="1" applyFont="1" applyBorder="1"/>
    <xf numFmtId="0" fontId="5" fillId="0" borderId="1" xfId="0" applyFont="1" applyBorder="1" applyAlignment="1">
      <alignment horizontal="center" vertical="center" wrapText="1"/>
    </xf>
    <xf numFmtId="2" fontId="4" fillId="3" borderId="1" xfId="0" applyNumberFormat="1" applyFont="1" applyFill="1" applyBorder="1"/>
    <xf numFmtId="4" fontId="3" fillId="4" borderId="1" xfId="0" applyNumberFormat="1" applyFont="1" applyFill="1" applyBorder="1"/>
    <xf numFmtId="1" fontId="5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7" fillId="0" borderId="4" xfId="0" applyFont="1" applyFill="1" applyBorder="1" applyAlignment="1"/>
    <xf numFmtId="0" fontId="7" fillId="0" borderId="5" xfId="0" applyFont="1" applyFill="1" applyBorder="1" applyAlignment="1"/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workbookViewId="0">
      <selection activeCell="N19" sqref="N19"/>
    </sheetView>
  </sheetViews>
  <sheetFormatPr defaultRowHeight="14.4" x14ac:dyDescent="0.3"/>
  <cols>
    <col min="1" max="1" width="2.33203125" style="13" customWidth="1"/>
    <col min="2" max="2" width="8.5546875" style="13" customWidth="1"/>
    <col min="3" max="3" width="29" style="13" bestFit="1" customWidth="1"/>
    <col min="4" max="4" width="12" style="13" bestFit="1" customWidth="1"/>
    <col min="5" max="5" width="12.6640625" style="13" bestFit="1" customWidth="1"/>
    <col min="6" max="6" width="15.44140625" style="13" bestFit="1" customWidth="1"/>
    <col min="7" max="8" width="12" style="13" bestFit="1" customWidth="1"/>
    <col min="9" max="16384" width="8.88671875" style="13"/>
  </cols>
  <sheetData>
    <row r="1" spans="1:8" x14ac:dyDescent="0.3">
      <c r="A1" s="12" t="s">
        <v>23</v>
      </c>
    </row>
    <row r="2" spans="1:8" x14ac:dyDescent="0.3">
      <c r="A2" s="12" t="s">
        <v>24</v>
      </c>
    </row>
    <row r="3" spans="1:8" x14ac:dyDescent="0.3">
      <c r="A3" s="12" t="s">
        <v>25</v>
      </c>
    </row>
    <row r="6" spans="1:8" ht="15" thickBot="1" x14ac:dyDescent="0.35">
      <c r="A6" s="13" t="s">
        <v>26</v>
      </c>
    </row>
    <row r="7" spans="1:8" x14ac:dyDescent="0.3">
      <c r="B7" s="14"/>
      <c r="C7" s="14"/>
      <c r="D7" s="14" t="s">
        <v>29</v>
      </c>
      <c r="E7" s="14" t="s">
        <v>31</v>
      </c>
      <c r="F7" s="14" t="s">
        <v>33</v>
      </c>
      <c r="G7" s="14" t="s">
        <v>35</v>
      </c>
      <c r="H7" s="14" t="s">
        <v>35</v>
      </c>
    </row>
    <row r="8" spans="1:8" ht="15" thickBot="1" x14ac:dyDescent="0.35">
      <c r="B8" s="15" t="s">
        <v>27</v>
      </c>
      <c r="C8" s="15" t="s">
        <v>28</v>
      </c>
      <c r="D8" s="15" t="s">
        <v>30</v>
      </c>
      <c r="E8" s="15" t="s">
        <v>32</v>
      </c>
      <c r="F8" s="15" t="s">
        <v>34</v>
      </c>
      <c r="G8" s="15" t="s">
        <v>36</v>
      </c>
      <c r="H8" s="15" t="s">
        <v>37</v>
      </c>
    </row>
    <row r="9" spans="1:8" x14ac:dyDescent="0.3">
      <c r="B9" s="16" t="s">
        <v>41</v>
      </c>
      <c r="C9" s="16" t="s">
        <v>42</v>
      </c>
      <c r="D9" s="16">
        <v>72.444444444444443</v>
      </c>
      <c r="E9" s="16">
        <v>0</v>
      </c>
      <c r="F9" s="16">
        <v>67</v>
      </c>
      <c r="G9" s="16">
        <v>68.999999999999986</v>
      </c>
      <c r="H9" s="16">
        <v>15</v>
      </c>
    </row>
    <row r="10" spans="1:8" x14ac:dyDescent="0.3">
      <c r="B10" s="16" t="s">
        <v>43</v>
      </c>
      <c r="C10" s="16" t="s">
        <v>44</v>
      </c>
      <c r="D10" s="16">
        <v>133.22222222222223</v>
      </c>
      <c r="E10" s="16">
        <v>0</v>
      </c>
      <c r="F10" s="16">
        <v>52</v>
      </c>
      <c r="G10" s="16">
        <v>15.000000000000004</v>
      </c>
      <c r="H10" s="16">
        <v>17.249999999999996</v>
      </c>
    </row>
    <row r="11" spans="1:8" x14ac:dyDescent="0.3">
      <c r="B11" s="16" t="s">
        <v>45</v>
      </c>
      <c r="C11" s="16" t="s">
        <v>46</v>
      </c>
      <c r="D11" s="16">
        <v>0</v>
      </c>
      <c r="E11" s="16">
        <v>-46.666666666666671</v>
      </c>
      <c r="F11" s="16">
        <v>41</v>
      </c>
      <c r="G11" s="16">
        <v>46.666666666666671</v>
      </c>
      <c r="H11" s="16">
        <v>1E+30</v>
      </c>
    </row>
    <row r="12" spans="1:8" ht="15" thickBot="1" x14ac:dyDescent="0.35">
      <c r="B12" s="17" t="s">
        <v>47</v>
      </c>
      <c r="C12" s="17" t="s">
        <v>48</v>
      </c>
      <c r="D12" s="17">
        <v>0</v>
      </c>
      <c r="E12" s="17">
        <v>-38.333333333333329</v>
      </c>
      <c r="F12" s="17">
        <v>40</v>
      </c>
      <c r="G12" s="17">
        <v>38.333333333333329</v>
      </c>
      <c r="H12" s="17">
        <v>1E+30</v>
      </c>
    </row>
    <row r="14" spans="1:8" ht="15" thickBot="1" x14ac:dyDescent="0.35">
      <c r="A14" s="13" t="s">
        <v>22</v>
      </c>
    </row>
    <row r="15" spans="1:8" x14ac:dyDescent="0.3">
      <c r="B15" s="14"/>
      <c r="C15" s="14"/>
      <c r="D15" s="14" t="s">
        <v>29</v>
      </c>
      <c r="E15" s="14" t="s">
        <v>38</v>
      </c>
      <c r="F15" s="14" t="s">
        <v>22</v>
      </c>
      <c r="G15" s="14" t="s">
        <v>35</v>
      </c>
      <c r="H15" s="14" t="s">
        <v>35</v>
      </c>
    </row>
    <row r="16" spans="1:8" ht="15" thickBot="1" x14ac:dyDescent="0.35">
      <c r="B16" s="15" t="s">
        <v>27</v>
      </c>
      <c r="C16" s="15" t="s">
        <v>28</v>
      </c>
      <c r="D16" s="15" t="s">
        <v>30</v>
      </c>
      <c r="E16" s="15" t="s">
        <v>39</v>
      </c>
      <c r="F16" s="15" t="s">
        <v>40</v>
      </c>
      <c r="G16" s="15" t="s">
        <v>36</v>
      </c>
      <c r="H16" s="15" t="s">
        <v>37</v>
      </c>
    </row>
    <row r="17" spans="2:8" x14ac:dyDescent="0.3">
      <c r="B17" s="16" t="s">
        <v>49</v>
      </c>
      <c r="C17" s="16" t="s">
        <v>50</v>
      </c>
      <c r="D17" s="16">
        <v>278.11111111111109</v>
      </c>
      <c r="E17" s="16">
        <v>0</v>
      </c>
      <c r="F17" s="16">
        <v>315</v>
      </c>
      <c r="G17" s="16">
        <v>1E+30</v>
      </c>
      <c r="H17" s="16">
        <v>36.888888888888886</v>
      </c>
    </row>
    <row r="18" spans="2:8" x14ac:dyDescent="0.3">
      <c r="B18" s="16" t="s">
        <v>51</v>
      </c>
      <c r="C18" s="16" t="s">
        <v>52</v>
      </c>
      <c r="D18" s="16">
        <v>617</v>
      </c>
      <c r="E18" s="16">
        <v>15.666666666666668</v>
      </c>
      <c r="F18" s="16">
        <v>617</v>
      </c>
      <c r="G18" s="16">
        <v>166</v>
      </c>
      <c r="H18" s="16">
        <v>299.75000000000006</v>
      </c>
    </row>
    <row r="19" spans="2:8" x14ac:dyDescent="0.3">
      <c r="B19" s="16" t="s">
        <v>53</v>
      </c>
      <c r="C19" s="16" t="s">
        <v>54</v>
      </c>
      <c r="D19" s="16">
        <v>278.11111111111109</v>
      </c>
      <c r="E19" s="16">
        <v>0</v>
      </c>
      <c r="F19" s="16">
        <v>815</v>
      </c>
      <c r="G19" s="16">
        <v>1E+30</v>
      </c>
      <c r="H19" s="16">
        <v>536.88888888888891</v>
      </c>
    </row>
    <row r="20" spans="2:8" x14ac:dyDescent="0.3">
      <c r="B20" s="16" t="s">
        <v>55</v>
      </c>
      <c r="C20" s="16" t="s">
        <v>56</v>
      </c>
      <c r="D20" s="16">
        <v>423</v>
      </c>
      <c r="E20" s="16">
        <v>5</v>
      </c>
      <c r="F20" s="16">
        <v>423</v>
      </c>
      <c r="G20" s="16">
        <v>110.66666666666666</v>
      </c>
      <c r="H20" s="16">
        <v>217.33333333333334</v>
      </c>
    </row>
    <row r="21" spans="2:8" ht="15" thickBot="1" x14ac:dyDescent="0.35">
      <c r="B21" s="17" t="s">
        <v>57</v>
      </c>
      <c r="C21" s="17" t="s">
        <v>58</v>
      </c>
      <c r="D21" s="17">
        <v>399.66666666666669</v>
      </c>
      <c r="E21" s="17">
        <v>0</v>
      </c>
      <c r="F21" s="17">
        <v>1193</v>
      </c>
      <c r="G21" s="17">
        <v>1E+30</v>
      </c>
      <c r="H21" s="17">
        <v>793.33333333333337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Normal="100" workbookViewId="0">
      <selection activeCell="N9" sqref="N9"/>
    </sheetView>
  </sheetViews>
  <sheetFormatPr defaultColWidth="8.6640625" defaultRowHeight="14.4" x14ac:dyDescent="0.3"/>
  <cols>
    <col min="1" max="1" width="30" customWidth="1"/>
    <col min="2" max="6" width="12" customWidth="1"/>
    <col min="7" max="7" width="4" customWidth="1"/>
    <col min="8" max="8" width="10" customWidth="1"/>
    <col min="9" max="9" width="12" customWidth="1"/>
    <col min="10" max="10" width="11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</row>
    <row r="4" spans="1:10" ht="21.7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/>
      <c r="H4" s="3" t="s">
        <v>8</v>
      </c>
      <c r="I4" s="3" t="s">
        <v>9</v>
      </c>
      <c r="J4" s="3" t="s">
        <v>10</v>
      </c>
    </row>
    <row r="5" spans="1:10" x14ac:dyDescent="0.3">
      <c r="A5" s="5" t="s">
        <v>11</v>
      </c>
      <c r="B5" s="6">
        <v>2</v>
      </c>
      <c r="C5" s="6">
        <v>1</v>
      </c>
      <c r="D5" s="6">
        <v>0</v>
      </c>
      <c r="E5" s="6">
        <v>2</v>
      </c>
      <c r="F5" s="7">
        <f>SUMPRODUCT(B5:E5,$B$11:$E$11)</f>
        <v>278.11111111111109</v>
      </c>
      <c r="G5" s="8" t="s">
        <v>12</v>
      </c>
      <c r="H5" s="6">
        <v>315</v>
      </c>
      <c r="I5" s="7">
        <f>H5-F5</f>
        <v>36.888888888888914</v>
      </c>
      <c r="J5" s="8" t="str">
        <f>IF(ABS(I5)&lt;0.0001,"так","ні")</f>
        <v>ні</v>
      </c>
    </row>
    <row r="6" spans="1:10" x14ac:dyDescent="0.3">
      <c r="A6" s="5" t="s">
        <v>13</v>
      </c>
      <c r="B6" s="6">
        <v>3</v>
      </c>
      <c r="C6" s="6">
        <v>3</v>
      </c>
      <c r="D6" s="6">
        <v>4</v>
      </c>
      <c r="E6" s="6">
        <v>5</v>
      </c>
      <c r="F6" s="7">
        <f>SUMPRODUCT(B6:E6,$B$11:$E$11)</f>
        <v>617</v>
      </c>
      <c r="G6" s="8" t="s">
        <v>12</v>
      </c>
      <c r="H6" s="6">
        <v>617</v>
      </c>
      <c r="I6" s="7">
        <f>H6-F6</f>
        <v>0</v>
      </c>
      <c r="J6" s="8" t="str">
        <f>IF(ABS(I6)&lt;0.0001,"так","ні")</f>
        <v>так</v>
      </c>
    </row>
    <row r="7" spans="1:10" x14ac:dyDescent="0.3">
      <c r="A7" s="5" t="s">
        <v>14</v>
      </c>
      <c r="B7" s="6">
        <v>2</v>
      </c>
      <c r="C7" s="6">
        <v>1</v>
      </c>
      <c r="D7" s="6">
        <v>0</v>
      </c>
      <c r="E7" s="6">
        <v>4</v>
      </c>
      <c r="F7" s="7">
        <f>SUMPRODUCT(B7:E7,$B$11:$E$11)</f>
        <v>278.11111111111109</v>
      </c>
      <c r="G7" s="8" t="s">
        <v>12</v>
      </c>
      <c r="H7" s="6">
        <v>815</v>
      </c>
      <c r="I7" s="7">
        <f>H7-F7</f>
        <v>536.88888888888891</v>
      </c>
      <c r="J7" s="8" t="str">
        <f>IF(ABS(I7)&lt;0.0001,"так","ні")</f>
        <v>ні</v>
      </c>
    </row>
    <row r="8" spans="1:10" x14ac:dyDescent="0.3">
      <c r="A8" s="5" t="s">
        <v>15</v>
      </c>
      <c r="B8" s="6">
        <v>4</v>
      </c>
      <c r="C8" s="6">
        <v>1</v>
      </c>
      <c r="D8" s="6">
        <v>5</v>
      </c>
      <c r="E8" s="6">
        <v>0</v>
      </c>
      <c r="F8" s="7">
        <f>SUMPRODUCT(B8:E8,$B$11:$E$11)</f>
        <v>423</v>
      </c>
      <c r="G8" s="8" t="s">
        <v>12</v>
      </c>
      <c r="H8" s="6">
        <v>423</v>
      </c>
      <c r="I8" s="7">
        <f>H8-F8</f>
        <v>0</v>
      </c>
      <c r="J8" s="8" t="str">
        <f>IF(ABS(I8)&lt;0.0001,"так","ні")</f>
        <v>так</v>
      </c>
    </row>
    <row r="9" spans="1:10" x14ac:dyDescent="0.3">
      <c r="A9" s="5" t="s">
        <v>16</v>
      </c>
      <c r="B9" s="6">
        <v>0</v>
      </c>
      <c r="C9" s="6">
        <v>3</v>
      </c>
      <c r="D9" s="6">
        <v>6</v>
      </c>
      <c r="E9" s="6">
        <v>3</v>
      </c>
      <c r="F9" s="7">
        <f>SUMPRODUCT(B9:E9,$B$11:$E$11)</f>
        <v>399.66666666666669</v>
      </c>
      <c r="G9" s="8" t="s">
        <v>12</v>
      </c>
      <c r="H9" s="6">
        <v>1193</v>
      </c>
      <c r="I9" s="7">
        <f>H9-F9</f>
        <v>793.33333333333326</v>
      </c>
      <c r="J9" s="8" t="str">
        <f>IF(ABS(I9)&lt;0.0001,"так","ні")</f>
        <v>ні</v>
      </c>
    </row>
    <row r="11" spans="1:10" x14ac:dyDescent="0.3">
      <c r="A11" s="5" t="s">
        <v>17</v>
      </c>
      <c r="B11" s="9">
        <v>72.444444444444443</v>
      </c>
      <c r="C11" s="9">
        <v>133.22222222222223</v>
      </c>
      <c r="D11" s="9">
        <v>0</v>
      </c>
      <c r="E11" s="9">
        <v>0</v>
      </c>
    </row>
    <row r="12" spans="1:10" x14ac:dyDescent="0.3">
      <c r="A12" s="5" t="s">
        <v>18</v>
      </c>
      <c r="B12" s="6">
        <v>67</v>
      </c>
      <c r="C12" s="6">
        <v>52</v>
      </c>
      <c r="D12" s="6">
        <v>41</v>
      </c>
      <c r="E12" s="6">
        <v>40</v>
      </c>
    </row>
    <row r="14" spans="1:10" x14ac:dyDescent="0.3">
      <c r="A14" s="5" t="s">
        <v>19</v>
      </c>
      <c r="B14" s="10">
        <f>SUMPRODUCT(B12:E12,B11:E11)</f>
        <v>11781.333333333332</v>
      </c>
    </row>
    <row r="16" spans="1:10" x14ac:dyDescent="0.3">
      <c r="A16" s="5" t="s">
        <v>20</v>
      </c>
      <c r="B16" s="11">
        <f>COUNTIF(B11:E11,"&gt;0.000001")</f>
        <v>0</v>
      </c>
      <c r="C16" s="2"/>
    </row>
    <row r="17" spans="1:2" x14ac:dyDescent="0.3">
      <c r="A17" s="5" t="s">
        <v>21</v>
      </c>
      <c r="B17" s="11">
        <f>COUNTIF(J5:J9,"так")</f>
        <v>2</v>
      </c>
    </row>
    <row r="19" spans="1:2" x14ac:dyDescent="0.3">
      <c r="A19" s="2"/>
    </row>
    <row r="20" spans="1:2" x14ac:dyDescent="0.3">
      <c r="A20" s="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Модель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Роман</cp:lastModifiedBy>
  <cp:revision>0</cp:revision>
  <dcterms:created xsi:type="dcterms:W3CDTF">2026-10-13T20:24:17Z</dcterms:created>
  <dcterms:modified xsi:type="dcterms:W3CDTF">2026-10-13T23:12:05Z</dcterms:modified>
  <dc:language>en-US</dc:language>
</cp:coreProperties>
</file>